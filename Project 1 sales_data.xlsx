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039D7BC9-CC36-422A-8403-2FFCAD0864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5" sheetId="5" r:id="rId3"/>
  </sheets>
  <definedNames>
    <definedName name="_xlnm._FilterDatabase" localSheetId="1" hidden="1">Sheet2!$A$1:$L$23</definedName>
  </definedNames>
  <calcPr calcId="191029"/>
  <pivotCaches>
    <pivotCache cacheId="1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" i="2"/>
</calcChain>
</file>

<file path=xl/sharedStrings.xml><?xml version="1.0" encoding="utf-8"?>
<sst xmlns="http://schemas.openxmlformats.org/spreadsheetml/2006/main" count="342" uniqueCount="89">
  <si>
    <t>Transaction_ID</t>
  </si>
  <si>
    <t>Date</t>
  </si>
  <si>
    <t>Customer_ID</t>
  </si>
  <si>
    <t>Product</t>
  </si>
  <si>
    <t>Category</t>
  </si>
  <si>
    <t>Quantity</t>
  </si>
  <si>
    <t>Price</t>
  </si>
  <si>
    <t>Total_Amount</t>
  </si>
  <si>
    <t>Payment_Method</t>
  </si>
  <si>
    <t>Region</t>
  </si>
  <si>
    <t>2024-01-05</t>
  </si>
  <si>
    <t>2024-01-10</t>
  </si>
  <si>
    <t>2024-01-12</t>
  </si>
  <si>
    <t>2024-02-05</t>
  </si>
  <si>
    <t>2024-02-08</t>
  </si>
  <si>
    <t>2024-02-10</t>
  </si>
  <si>
    <t>2024-03-15</t>
  </si>
  <si>
    <t>2024-03-18</t>
  </si>
  <si>
    <t>2024-03-20</t>
  </si>
  <si>
    <t>2024-04-01</t>
  </si>
  <si>
    <t>2024-04-05</t>
  </si>
  <si>
    <t>2024-04-10</t>
  </si>
  <si>
    <t>2024-05-01</t>
  </si>
  <si>
    <t>2024-05-05</t>
  </si>
  <si>
    <t>2024-05-08</t>
  </si>
  <si>
    <t>2024-05-10</t>
  </si>
  <si>
    <t>2024-06-01</t>
  </si>
  <si>
    <t>2024-06-05</t>
  </si>
  <si>
    <t>2024-06-08</t>
  </si>
  <si>
    <t>2024-06-10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</si>
  <si>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</si>
  <si>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</si>
  <si>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</si>
  <si>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</si>
  <si>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</si>
  <si>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</si>
  <si>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</si>
  <si>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</si>
  <si>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</si>
  <si>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</si>
  <si>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</si>
  <si>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</si>
  <si>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</si>
  <si>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</si>
  <si>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</si>
  <si>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</si>
  <si>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</si>
  <si>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</si>
  <si>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Laptop</t>
  </si>
  <si>
    <t>Smartphone</t>
  </si>
  <si>
    <t>Headphones</t>
  </si>
  <si>
    <t>Tablet</t>
  </si>
  <si>
    <t>Book</t>
  </si>
  <si>
    <t>Shoes</t>
  </si>
  <si>
    <t>T-Shirt</t>
  </si>
  <si>
    <t>Smartwatch</t>
  </si>
  <si>
    <t>Electronics</t>
  </si>
  <si>
    <t>Books</t>
  </si>
  <si>
    <t>Clothing</t>
  </si>
  <si>
    <t>Credit Card</t>
  </si>
  <si>
    <t>Cash</t>
  </si>
  <si>
    <t>PayPal</t>
  </si>
  <si>
    <t>Debit Card</t>
  </si>
  <si>
    <t>North</t>
  </si>
  <si>
    <t>South</t>
  </si>
  <si>
    <t>West</t>
  </si>
  <si>
    <t>East</t>
  </si>
  <si>
    <t>Sum of Total_Amount</t>
  </si>
  <si>
    <t>Average of Total_Amount</t>
  </si>
  <si>
    <t>Row Labels</t>
  </si>
  <si>
    <t>Grand Total</t>
  </si>
  <si>
    <t>2024</t>
  </si>
  <si>
    <t>01</t>
  </si>
  <si>
    <t>05</t>
  </si>
  <si>
    <t>10</t>
  </si>
  <si>
    <t>12</t>
  </si>
  <si>
    <t>02</t>
  </si>
  <si>
    <t>08</t>
  </si>
  <si>
    <t>03</t>
  </si>
  <si>
    <t>15</t>
  </si>
  <si>
    <t>18</t>
  </si>
  <si>
    <t>20</t>
  </si>
  <si>
    <t>04</t>
  </si>
  <si>
    <t>06</t>
  </si>
  <si>
    <t>Year</t>
  </si>
  <si>
    <t>Month</t>
  </si>
  <si>
    <t>Day</t>
  </si>
  <si>
    <t>Sum of Quantity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</si>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</sst>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75" fontId="0" fillId="0" borderId="0" xfId="1" applyNumberFormat="1" applyFont="1"/>
    <xf numFmtId="175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2">
    <cellStyle name="Comma" xfId="1" builtinId="3"/>
    <cellStyle name="Normal" xfId="0" builtinId="0"/>
  </cellStyles>
  <dxfs count="8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sales_data.xlsx]Sheet5!PivotTable3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Sales per</a:t>
            </a:r>
            <a:r>
              <a:rPr lang="en-US" baseline="0"/>
              <a:t>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Sheet5!$B$4:$B$8</c:f>
              <c:numCache>
                <c:formatCode>_("$"* #,##0.00_);_("$"* \(#,##0.00\);_("$"* "-"??_);_(@_)</c:formatCode>
                <c:ptCount val="4"/>
                <c:pt idx="0">
                  <c:v>380</c:v>
                </c:pt>
                <c:pt idx="1">
                  <c:v>430</c:v>
                </c:pt>
                <c:pt idx="2">
                  <c:v>537.5</c:v>
                </c:pt>
                <c:pt idx="3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71-46C4-BF41-9A1B8A90B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2573328"/>
        <c:axId val="1952574992"/>
      </c:barChart>
      <c:catAx>
        <c:axId val="195257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74992"/>
        <c:crosses val="autoZero"/>
        <c:auto val="1"/>
        <c:lblAlgn val="ctr"/>
        <c:lblOffset val="100"/>
        <c:noMultiLvlLbl val="0"/>
      </c:catAx>
      <c:valAx>
        <c:axId val="195257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7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sales_data.xlsx]Sheet5!PivotTable4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for</a:t>
            </a:r>
            <a:r>
              <a:rPr lang="en-US" baseline="0"/>
              <a:t> Each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Sheet5!$A$19:$A$22</c:f>
              <c:strCache>
                <c:ptCount val="3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Sheet5!$B$19:$B$22</c:f>
              <c:numCache>
                <c:formatCode>_("$"* #,##0.00_);_("$"* \(#,##0.00\);_("$"* "-"??_);_(@_)</c:formatCode>
                <c:ptCount val="3"/>
                <c:pt idx="0">
                  <c:v>180</c:v>
                </c:pt>
                <c:pt idx="1">
                  <c:v>250</c:v>
                </c:pt>
                <c:pt idx="2">
                  <c:v>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7-48D8-BC7A-97B5A9796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52587472"/>
        <c:axId val="1952594128"/>
      </c:barChart>
      <c:catAx>
        <c:axId val="1952587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94128"/>
        <c:crosses val="autoZero"/>
        <c:auto val="1"/>
        <c:lblAlgn val="ctr"/>
        <c:lblOffset val="100"/>
        <c:noMultiLvlLbl val="0"/>
      </c:catAx>
      <c:valAx>
        <c:axId val="195259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587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sales_data.xlsx]Sheet5!PivotTable5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Count of Users using Different Payment Methods</a:t>
            </a:r>
            <a:endParaRPr lang="en-US"/>
          </a:p>
        </c:rich>
      </c:tx>
      <c:layout>
        <c:manualLayout>
          <c:xMode val="edge"/>
          <c:yMode val="edge"/>
          <c:x val="0.1484096675415572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Sheet5!$A$34:$A$38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PayPal</c:v>
                </c:pt>
              </c:strCache>
            </c:strRef>
          </c:cat>
          <c:val>
            <c:numRef>
              <c:f>Sheet5!$B$34:$B$38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05-42D6-B1AD-56060D264EF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sales_data.xlsx]Sheet5!PivotTable6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Sheet5!$B$55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Sheet5!$A$56:$A$62</c:f>
              <c:strCache>
                <c:ptCount val="6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</c:strCache>
            </c:strRef>
          </c:cat>
          <c:val>
            <c:numRef>
              <c:f>Sheet5!$B$56:$B$62</c:f>
              <c:numCache>
                <c:formatCode>_("$"* #,##0.00_);_("$"* \(#,##0.00\);_("$"* "-"??_);_(@_)</c:formatCode>
                <c:ptCount val="6"/>
                <c:pt idx="0">
                  <c:v>2100</c:v>
                </c:pt>
                <c:pt idx="1">
                  <c:v>1360</c:v>
                </c:pt>
                <c:pt idx="2">
                  <c:v>325</c:v>
                </c:pt>
                <c:pt idx="3">
                  <c:v>1740</c:v>
                </c:pt>
                <c:pt idx="4">
                  <c:v>1025</c:v>
                </c:pt>
                <c:pt idx="5">
                  <c:v>1380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2B-4BE0-AEBA-378464B53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5487248"/>
        <c:axId val="1995486832"/>
      </c:lineChart>
      <c:catAx>
        <c:axId val="1995487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layout>
            <c:manualLayout>
              <c:xMode val="edge"/>
              <c:yMode val="edge"/>
              <c:x val="0.45658300907275129"/>
              <c:y val="0.84266404199475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86832"/>
        <c:crosses val="autoZero"/>
        <c:auto val="1"/>
        <c:lblAlgn val="ctr"/>
        <c:lblOffset val="100"/>
        <c:noMultiLvlLbl val="0"/>
      </c:catAx>
      <c:valAx>
        <c:axId val="199548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872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 sales_data.xlsx]Sheet5!PivotTable7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Quantities Ordered for each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</c:pivotFmt>
      <c:pivotFmt>
        <c:idx val="6"/>
        <c:spPr>
          <a:solidFill>
            <a:srgbClr val="FFFF00"/>
          </a:solidFill>
          <a:ln>
            <a:noFill/>
          </a:ln>
          <a:effectLst/>
        </c:spPr>
      </c:pivotFmt>
      <c:pivotFmt>
        <c:idx val="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Sheet5!$C$78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69-4EE3-A249-EBE23267F06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69-4EE3-A249-EBE23267F06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69-4EE3-A249-EBE23267F06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69-4EE3-A249-EBE23267F06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69-4EE3-A249-EBE23267F067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69-4EE3-A249-EBE23267F067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69-4EE3-A249-EBE23267F067}"/>
              </c:ext>
            </c:extLst>
          </c:dPt>
          <c:cat>
            <c:strRef>
              <c:f>Sheet5!$B$79:$B$87</c:f>
              <c:strCache>
                <c:ptCount val="8"/>
                <c:pt idx="0">
                  <c:v>Book</c:v>
                </c:pt>
                <c:pt idx="1">
                  <c:v>Smartphone</c:v>
                </c:pt>
                <c:pt idx="2">
                  <c:v>T-Shirt</c:v>
                </c:pt>
                <c:pt idx="3">
                  <c:v>Tablet</c:v>
                </c:pt>
                <c:pt idx="4">
                  <c:v>Laptop</c:v>
                </c:pt>
                <c:pt idx="5">
                  <c:v>Shoes</c:v>
                </c:pt>
                <c:pt idx="6">
                  <c:v>Smartwatch</c:v>
                </c:pt>
                <c:pt idx="7">
                  <c:v>Headphones</c:v>
                </c:pt>
              </c:strCache>
            </c:strRef>
          </c:cat>
          <c:val>
            <c:numRef>
              <c:f>Sheet5!$C$79:$C$87</c:f>
              <c:numCache>
                <c:formatCode>General</c:formatCode>
                <c:ptCount val="8"/>
                <c:pt idx="0">
                  <c:v>9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9-4EE3-A249-EBE23267F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481840"/>
        <c:axId val="1995488912"/>
      </c:barChart>
      <c:catAx>
        <c:axId val="199548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88912"/>
        <c:crosses val="autoZero"/>
        <c:auto val="1"/>
        <c:lblAlgn val="ctr"/>
        <c:lblOffset val="100"/>
        <c:noMultiLvlLbl val="0"/>
      </c:catAx>
      <c:valAx>
        <c:axId val="199548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Ordered Quantities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81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523874</xdr:colOff>
      <xdr:row>0</xdr:row>
      <xdr:rowOff>100011</xdr:rowOff>
    </xdr:from>
    <xdr:to>
      <xdr:col>11</xdr:col>
      <xdr:colOff>0</xdr:colOff>
      <xdr:row>12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A17D5-8001-4B8C-B7B8-91A73911E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390525</xdr:colOff>
      <xdr:row>15</xdr:row>
      <xdr:rowOff>147638</xdr:rowOff>
    </xdr:from>
    <xdr:to>
      <xdr:col>10</xdr:col>
      <xdr:colOff>590550</xdr:colOff>
      <xdr:row>28</xdr:row>
      <xdr:rowOff>142876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893C8D-7DBE-446B-AB3B-056044310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390525</xdr:colOff>
      <xdr:row>31</xdr:row>
      <xdr:rowOff>80962</xdr:rowOff>
    </xdr:from>
    <xdr:to>
      <xdr:col>11</xdr:col>
      <xdr:colOff>38100</xdr:colOff>
      <xdr:row>45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5EA02F-F0A7-4911-B4C1-A68CA1409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95251</xdr:colOff>
      <xdr:row>53</xdr:row>
      <xdr:rowOff>47625</xdr:rowOff>
    </xdr:from>
    <xdr:to>
      <xdr:col>12</xdr:col>
      <xdr:colOff>533401</xdr:colOff>
      <xdr:row>65</xdr:row>
      <xdr:rowOff>147637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6E1AAC-CAF3-4BCA-8A46-282714E808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85724</xdr:colOff>
      <xdr:row>70</xdr:row>
      <xdr:rowOff>42861</xdr:rowOff>
    </xdr:from>
    <xdr:to>
      <xdr:col>13</xdr:col>
      <xdr:colOff>400049</xdr:colOff>
      <xdr:row>87</xdr:row>
      <xdr:rowOff>28575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2622E1-7CE0-4101-A938-AC56BB9439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979.727350231478" createdVersion="7" refreshedVersion="7" minRefreshableVersion="3" recordCount="20" xr:uid="{C7CED530-ABC2-4822-A2CC-443A54B9277F}">
  <cacheSource type="worksheet">
    <worksheetSource ref="A1:L21" sheet="Sheet2"/>
  </cacheSource>
  <cacheFields count="12">
    <cacheField name="Transaction_ID" numFmtId="0">
      <sharedItems containsSemiMixedTypes="0" containsString="0" containsNumber="1" containsInteger="1" minValue="1001" maxValue="1020"/>
    </cacheField>
    <cacheField name="Year" numFmtId="0">
      <sharedItems/>
    </cacheField>
    <cacheField name="Month" numFmtId="0">
      <sharedItems count="6">
        <s v="01"/>
        <s v="02"/>
        <s v="03"/>
        <s v="04"/>
        <s v="05"/>
        <s v="06"/>
      </sharedItems>
    </cacheField>
    <cacheField name="Day" numFmtId="0">
      <sharedItems/>
    </cacheField>
    <cacheField name="Customer_ID" numFmtId="0">
      <sharedItems count="18">
        <s v="C001"/>
        <s v="C002"/>
        <s v="C003"/>
        <s v="C004"/>
        <s v="C005"/>
        <s v="C006"/>
        <s v="C007"/>
        <s v="C008"/>
        <s v="C009"/>
        <s v="C010"/>
        <s v="C011"/>
        <s v="C012"/>
        <s v="C013"/>
        <s v="C014"/>
        <s v="C015"/>
        <s v="C016"/>
        <s v="C017"/>
        <s v="C018"/>
      </sharedItems>
    </cacheField>
    <cacheField name="Product" numFmtId="0">
      <sharedItems count="8">
        <s v="Laptop"/>
        <s v="Smartphone"/>
        <s v="Headphones"/>
        <s v="Tablet"/>
        <s v="Book"/>
        <s v="Shoes"/>
        <s v="T-Shirt"/>
        <s v="Smartwatch"/>
      </sharedItems>
    </cacheField>
    <cacheField name="Category" numFmtId="0">
      <sharedItems count="3">
        <s v="Electronics"/>
        <s v="Books"/>
        <s v="Clothing"/>
      </sharedItems>
    </cacheField>
    <cacheField name="Quantity" numFmtId="1">
      <sharedItems containsSemiMixedTypes="0" containsString="0" containsNumber="1" containsInteger="1" minValue="1" maxValue="4"/>
    </cacheField>
    <cacheField name="Price" numFmtId="175">
      <sharedItems containsSemiMixedTypes="0" containsString="0" containsNumber="1" containsInteger="1" minValue="20" maxValue="800"/>
    </cacheField>
    <cacheField name="Total_Amount" numFmtId="175">
      <sharedItems containsSemiMixedTypes="0" containsString="0" containsNumber="1" containsInteger="1" minValue="25" maxValue="1200"/>
    </cacheField>
    <cacheField name="Payment_Method" numFmtId="0">
      <sharedItems count="4">
        <s v="Credit Card"/>
        <s v="Cash"/>
        <s v="PayPal"/>
        <s v="Debit Card"/>
      </sharedItems>
    </cacheField>
    <cacheField name="Region" numFmtId="0">
      <sharedItems count="4">
        <s v="North"/>
        <s v="South"/>
        <s v="West"/>
        <s v="E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s v="2024"/>
    <x v="0"/>
    <s v="05"/>
    <x v="0"/>
    <x v="0"/>
    <x v="0"/>
    <n v="1"/>
    <n v="800"/>
    <n v="800"/>
    <x v="0"/>
    <x v="0"/>
  </r>
  <r>
    <n v="1002"/>
    <s v="2024"/>
    <x v="0"/>
    <s v="10"/>
    <x v="1"/>
    <x v="1"/>
    <x v="0"/>
    <n v="2"/>
    <n v="600"/>
    <n v="1200"/>
    <x v="1"/>
    <x v="1"/>
  </r>
  <r>
    <n v="1003"/>
    <s v="2024"/>
    <x v="0"/>
    <s v="12"/>
    <x v="2"/>
    <x v="2"/>
    <x v="0"/>
    <n v="1"/>
    <n v="100"/>
    <n v="100"/>
    <x v="2"/>
    <x v="2"/>
  </r>
  <r>
    <n v="1004"/>
    <s v="2024"/>
    <x v="1"/>
    <s v="05"/>
    <x v="3"/>
    <x v="3"/>
    <x v="0"/>
    <n v="1"/>
    <n v="500"/>
    <n v="500"/>
    <x v="3"/>
    <x v="3"/>
  </r>
  <r>
    <n v="1005"/>
    <s v="2024"/>
    <x v="1"/>
    <s v="08"/>
    <x v="4"/>
    <x v="4"/>
    <x v="1"/>
    <n v="3"/>
    <n v="20"/>
    <n v="60"/>
    <x v="0"/>
    <x v="0"/>
  </r>
  <r>
    <n v="1006"/>
    <s v="2024"/>
    <x v="1"/>
    <s v="10"/>
    <x v="0"/>
    <x v="0"/>
    <x v="0"/>
    <n v="1"/>
    <n v="800"/>
    <n v="800"/>
    <x v="0"/>
    <x v="0"/>
  </r>
  <r>
    <n v="1007"/>
    <s v="2024"/>
    <x v="2"/>
    <s v="15"/>
    <x v="5"/>
    <x v="5"/>
    <x v="2"/>
    <n v="2"/>
    <n v="50"/>
    <n v="100"/>
    <x v="1"/>
    <x v="1"/>
  </r>
  <r>
    <n v="1008"/>
    <s v="2024"/>
    <x v="2"/>
    <s v="18"/>
    <x v="6"/>
    <x v="6"/>
    <x v="2"/>
    <n v="1"/>
    <n v="25"/>
    <n v="25"/>
    <x v="2"/>
    <x v="2"/>
  </r>
  <r>
    <n v="1009"/>
    <s v="2024"/>
    <x v="2"/>
    <s v="20"/>
    <x v="7"/>
    <x v="7"/>
    <x v="0"/>
    <n v="1"/>
    <n v="200"/>
    <n v="200"/>
    <x v="3"/>
    <x v="3"/>
  </r>
  <r>
    <n v="1010"/>
    <s v="2024"/>
    <x v="3"/>
    <s v="01"/>
    <x v="8"/>
    <x v="4"/>
    <x v="1"/>
    <n v="2"/>
    <n v="20"/>
    <n v="40"/>
    <x v="0"/>
    <x v="0"/>
  </r>
  <r>
    <n v="1011"/>
    <s v="2024"/>
    <x v="3"/>
    <s v="05"/>
    <x v="1"/>
    <x v="1"/>
    <x v="0"/>
    <n v="2"/>
    <n v="600"/>
    <n v="1200"/>
    <x v="1"/>
    <x v="1"/>
  </r>
  <r>
    <n v="1012"/>
    <s v="2024"/>
    <x v="3"/>
    <s v="10"/>
    <x v="9"/>
    <x v="3"/>
    <x v="0"/>
    <n v="1"/>
    <n v="500"/>
    <n v="500"/>
    <x v="3"/>
    <x v="3"/>
  </r>
  <r>
    <n v="1013"/>
    <s v="2024"/>
    <x v="4"/>
    <s v="01"/>
    <x v="10"/>
    <x v="5"/>
    <x v="2"/>
    <n v="1"/>
    <n v="50"/>
    <n v="50"/>
    <x v="1"/>
    <x v="1"/>
  </r>
  <r>
    <n v="1014"/>
    <s v="2024"/>
    <x v="4"/>
    <s v="05"/>
    <x v="11"/>
    <x v="2"/>
    <x v="0"/>
    <n v="1"/>
    <n v="100"/>
    <n v="100"/>
    <x v="2"/>
    <x v="2"/>
  </r>
  <r>
    <n v="1015"/>
    <s v="2024"/>
    <x v="4"/>
    <s v="08"/>
    <x v="12"/>
    <x v="0"/>
    <x v="0"/>
    <n v="1"/>
    <n v="800"/>
    <n v="800"/>
    <x v="0"/>
    <x v="0"/>
  </r>
  <r>
    <n v="1016"/>
    <s v="2024"/>
    <x v="4"/>
    <s v="10"/>
    <x v="13"/>
    <x v="6"/>
    <x v="2"/>
    <n v="3"/>
    <n v="25"/>
    <n v="75"/>
    <x v="1"/>
    <x v="1"/>
  </r>
  <r>
    <n v="1017"/>
    <s v="2024"/>
    <x v="5"/>
    <s v="01"/>
    <x v="14"/>
    <x v="7"/>
    <x v="0"/>
    <n v="1"/>
    <n v="200"/>
    <n v="200"/>
    <x v="3"/>
    <x v="3"/>
  </r>
  <r>
    <n v="1018"/>
    <s v="2024"/>
    <x v="5"/>
    <s v="05"/>
    <x v="15"/>
    <x v="4"/>
    <x v="1"/>
    <n v="4"/>
    <n v="20"/>
    <n v="80"/>
    <x v="0"/>
    <x v="0"/>
  </r>
  <r>
    <n v="1019"/>
    <s v="2024"/>
    <x v="5"/>
    <s v="08"/>
    <x v="16"/>
    <x v="1"/>
    <x v="0"/>
    <n v="1"/>
    <n v="600"/>
    <n v="600"/>
    <x v="1"/>
    <x v="1"/>
  </r>
  <r>
    <n v="1020"/>
    <s v="2024"/>
    <x v="5"/>
    <s v="10"/>
    <x v="17"/>
    <x v="3"/>
    <x v="0"/>
    <n v="1"/>
    <n v="500"/>
    <n v="500"/>
    <x v="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52EEBD-3B13-4D84-855E-35FEA86A6630}" name="PivotTable7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B78:C87" firstHeaderRow="1" firstDataRow="1" firstDataCol="1"/>
  <pivotFields count="12">
    <pivotField showAll="0"/>
    <pivotField showAll="0"/>
    <pivotField showAll="0"/>
    <pivotField showAll="0"/>
    <pivotField showAll="0"/>
    <pivotField axis="axisRow" showAll="0" sortType="descending">
      <items count="9">
        <item x="4"/>
        <item x="2"/>
        <item x="0"/>
        <item x="5"/>
        <item x="1"/>
        <item x="7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dataField="1" numFmtId="1" showAll="0"/>
    <pivotField numFmtId="175" showAll="0"/>
    <pivotField numFmtId="175" showAll="0"/>
    <pivotField showAll="0"/>
    <pivotField showAll="0"/>
  </pivotFields>
  <rowFields count="1">
    <field x="5"/>
  </rowFields>
  <rowItems count="9">
    <i>
      <x/>
    </i>
    <i>
      <x v="4"/>
    </i>
    <i>
      <x v="7"/>
    </i>
    <i>
      <x v="6"/>
    </i>
    <i>
      <x v="2"/>
    </i>
    <i>
      <x v="3"/>
    </i>
    <i>
      <x v="5"/>
    </i>
    <i>
      <x v="1"/>
    </i>
    <i t="grand">
      <x/>
    </i>
  </rowItems>
  <colItems count="1">
    <i/>
  </colItems>
  <dataFields count="1">
    <dataField name="Sum of Quantity" fld="7" baseField="5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B9CBA-5641-417B-AD0C-8C4BEFFE0321}" name="PivotTable6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55:B62" firstHeaderRow="1" firstDataRow="1" firstDataCol="1"/>
  <pivotFields count="12"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numFmtId="1" showAll="0"/>
    <pivotField numFmtId="175" showAll="0"/>
    <pivotField dataField="1" numFmtId="175" showAll="0"/>
    <pivotField showAll="0"/>
    <pivotField showAll="0">
      <items count="5">
        <item x="3"/>
        <item x="0"/>
        <item x="1"/>
        <item x="2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Amount" fld="9" baseField="0" baseItem="0" numFmtId="44"/>
  </dataFields>
  <formats count="1">
    <format dxfId="4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B263E-FD50-4625-847E-4294293562D0}" name="PivotTable5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3:B38" firstHeaderRow="1" firstDataRow="1" firstDataCol="1"/>
  <pivotFields count="12">
    <pivotField showAll="0"/>
    <pivotField showAll="0"/>
    <pivotField showAll="0"/>
    <pivotField showAll="0"/>
    <pivotField dataField="1" showAll="0"/>
    <pivotField showAll="0">
      <items count="9">
        <item x="4"/>
        <item x="2"/>
        <item x="0"/>
        <item x="5"/>
        <item x="1"/>
        <item x="7"/>
        <item x="3"/>
        <item x="6"/>
        <item t="default"/>
      </items>
    </pivotField>
    <pivotField showAll="0">
      <items count="4">
        <item x="1"/>
        <item x="2"/>
        <item x="0"/>
        <item t="default"/>
      </items>
    </pivotField>
    <pivotField numFmtId="1" showAll="0"/>
    <pivotField numFmtId="175" showAll="0"/>
    <pivotField numFmtId="175" showAll="0"/>
    <pivotField axis="axisRow" showAll="0">
      <items count="5">
        <item x="1"/>
        <item x="0"/>
        <item x="3"/>
        <item x="2"/>
        <item t="default"/>
      </items>
    </pivotField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_ID" fld="4" subtotal="count" baseField="1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503F6B-D4BC-4174-BA34-158EE0B86F6F}" name="PivotTable4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18:B22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" showAll="0"/>
    <pivotField numFmtId="175" showAll="0"/>
    <pivotField dataField="1" numFmtId="175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Amount" fld="9" baseField="0" baseItem="0" numFmtId="44"/>
  </dataFields>
  <formats count="1">
    <format dxfId="5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07D49-2592-4336-8629-B7672A311C7A}" name="PivotTable3" cacheId="1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8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numFmtId="1" showAll="0"/>
    <pivotField numFmtId="175" showAll="0"/>
    <pivotField dataField="1" numFmtId="175" showAll="0"/>
    <pivotField showAll="0"/>
    <pivotField axis="axisRow" showAll="0">
      <items count="5">
        <item x="3"/>
        <item x="0"/>
        <item x="1"/>
        <item x="2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Total_Amount" fld="9" subtotal="average" baseField="11" baseItem="0"/>
  </dataFields>
  <formats count="1">
    <format dxfId="6">
      <pivotArea collapsedLevelsAreSubtotals="1" fieldPosition="0">
        <references count="1">
          <reference field="11" count="0"/>
        </references>
      </pivotArea>
    </format>
  </format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12.42578125" bestFit="1" customWidth="1"/>
    <col min="4" max="4" width="12.140625" bestFit="1" customWidth="1"/>
    <col min="5" max="5" width="10.5703125" bestFit="1" customWidth="1"/>
    <col min="6" max="6" width="8.7109375" bestFit="1" customWidth="1"/>
    <col min="7" max="7" width="5.42578125" bestFit="1" customWidth="1"/>
    <col min="8" max="8" width="13.7109375" bestFit="1" customWidth="1"/>
    <col min="9" max="9" width="17.28515625" bestFit="1" customWidth="1"/>
    <col min="10" max="10" width="7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1001</v>
      </c>
      <c r="B2" t="s">
        <v>10</v>
      </c>
      <c r="C2" t="s">
        <v>30</v>
      </c>
      <c r="D2" t="s">
        <v>48</v>
      </c>
      <c r="E2" t="s">
        <v>56</v>
      </c>
      <c r="F2">
        <v>1</v>
      </c>
      <c r="G2">
        <v>800</v>
      </c>
      <c r="I2" t="s">
        <v>59</v>
      </c>
      <c r="J2" t="s">
        <v>63</v>
      </c>
    </row>
    <row r="3" spans="1:10" x14ac:dyDescent="0.25">
      <c r="A3">
        <v>1002</v>
      </c>
      <c r="B3" t="s">
        <v>11</v>
      </c>
      <c r="C3" t="s">
        <v>31</v>
      </c>
      <c r="D3" t="s">
        <v>49</v>
      </c>
      <c r="E3" t="s">
        <v>56</v>
      </c>
      <c r="F3">
        <v>2</v>
      </c>
      <c r="G3">
        <v>600</v>
      </c>
      <c r="H3">
        <v>1200</v>
      </c>
      <c r="I3" t="s">
        <v>60</v>
      </c>
      <c r="J3" t="s">
        <v>64</v>
      </c>
    </row>
    <row r="4" spans="1:10" x14ac:dyDescent="0.25">
      <c r="A4">
        <v>1003</v>
      </c>
      <c r="B4" t="s">
        <v>12</v>
      </c>
      <c r="C4" t="s">
        <v>32</v>
      </c>
      <c r="D4" t="s">
        <v>50</v>
      </c>
      <c r="E4" t="s">
        <v>56</v>
      </c>
      <c r="F4">
        <v>1</v>
      </c>
      <c r="G4">
        <v>100</v>
      </c>
      <c r="H4">
        <v>100</v>
      </c>
      <c r="I4" t="s">
        <v>61</v>
      </c>
      <c r="J4" t="s">
        <v>65</v>
      </c>
    </row>
    <row r="5" spans="1:10" x14ac:dyDescent="0.25">
      <c r="A5">
        <v>1004</v>
      </c>
      <c r="B5" t="s">
        <v>13</v>
      </c>
      <c r="C5" t="s">
        <v>33</v>
      </c>
      <c r="D5" t="s">
        <v>51</v>
      </c>
      <c r="E5" t="s">
        <v>56</v>
      </c>
      <c r="F5">
        <v>1</v>
      </c>
      <c r="G5">
        <v>500</v>
      </c>
      <c r="H5">
        <v>500</v>
      </c>
      <c r="I5" t="s">
        <v>62</v>
      </c>
      <c r="J5" t="s">
        <v>66</v>
      </c>
    </row>
    <row r="6" spans="1:10" x14ac:dyDescent="0.25">
      <c r="A6">
        <v>1005</v>
      </c>
      <c r="B6" t="s">
        <v>14</v>
      </c>
      <c r="C6" t="s">
        <v>34</v>
      </c>
      <c r="D6" t="s">
        <v>52</v>
      </c>
      <c r="E6" t="s">
        <v>57</v>
      </c>
      <c r="F6">
        <v>3</v>
      </c>
      <c r="G6">
        <v>20</v>
      </c>
      <c r="H6">
        <v>60</v>
      </c>
      <c r="I6" t="s">
        <v>59</v>
      </c>
      <c r="J6" t="s">
        <v>63</v>
      </c>
    </row>
    <row r="7" spans="1:10" x14ac:dyDescent="0.25">
      <c r="A7">
        <v>1006</v>
      </c>
      <c r="B7" t="s">
        <v>15</v>
      </c>
      <c r="C7" t="s">
        <v>30</v>
      </c>
      <c r="D7" t="s">
        <v>48</v>
      </c>
      <c r="E7" t="s">
        <v>56</v>
      </c>
      <c r="F7">
        <v>1</v>
      </c>
      <c r="G7">
        <v>800</v>
      </c>
      <c r="H7">
        <v>800</v>
      </c>
      <c r="I7" t="s">
        <v>59</v>
      </c>
      <c r="J7" t="s">
        <v>63</v>
      </c>
    </row>
    <row r="8" spans="1:10" x14ac:dyDescent="0.25">
      <c r="A8">
        <v>1007</v>
      </c>
      <c r="B8" t="s">
        <v>16</v>
      </c>
      <c r="C8" t="s">
        <v>35</v>
      </c>
      <c r="D8" t="s">
        <v>53</v>
      </c>
      <c r="E8" t="s">
        <v>58</v>
      </c>
      <c r="F8">
        <v>2</v>
      </c>
      <c r="G8">
        <v>50</v>
      </c>
      <c r="H8">
        <v>100</v>
      </c>
      <c r="I8" t="s">
        <v>60</v>
      </c>
      <c r="J8" t="s">
        <v>64</v>
      </c>
    </row>
    <row r="9" spans="1:10" x14ac:dyDescent="0.25">
      <c r="A9">
        <v>1008</v>
      </c>
      <c r="B9" t="s">
        <v>17</v>
      </c>
      <c r="C9" t="s">
        <v>36</v>
      </c>
      <c r="D9" t="s">
        <v>54</v>
      </c>
      <c r="E9" t="s">
        <v>58</v>
      </c>
      <c r="F9">
        <v>1</v>
      </c>
      <c r="G9">
        <v>25</v>
      </c>
      <c r="H9">
        <v>25</v>
      </c>
      <c r="I9" t="s">
        <v>61</v>
      </c>
      <c r="J9" t="s">
        <v>65</v>
      </c>
    </row>
    <row r="10" spans="1:10" x14ac:dyDescent="0.25">
      <c r="A10">
        <v>1009</v>
      </c>
      <c r="B10" t="s">
        <v>18</v>
      </c>
      <c r="C10" t="s">
        <v>37</v>
      </c>
      <c r="D10" t="s">
        <v>55</v>
      </c>
      <c r="E10" t="s">
        <v>56</v>
      </c>
      <c r="F10">
        <v>1</v>
      </c>
      <c r="G10">
        <v>200</v>
      </c>
      <c r="H10">
        <v>200</v>
      </c>
      <c r="I10" t="s">
        <v>62</v>
      </c>
      <c r="J10" t="s">
        <v>66</v>
      </c>
    </row>
    <row r="11" spans="1:10" x14ac:dyDescent="0.25">
      <c r="A11">
        <v>1010</v>
      </c>
      <c r="B11" t="s">
        <v>19</v>
      </c>
      <c r="C11" t="s">
        <v>38</v>
      </c>
      <c r="D11" t="s">
        <v>52</v>
      </c>
      <c r="E11" t="s">
        <v>57</v>
      </c>
      <c r="F11">
        <v>2</v>
      </c>
      <c r="G11">
        <v>20</v>
      </c>
      <c r="H11">
        <v>40</v>
      </c>
      <c r="I11" t="s">
        <v>59</v>
      </c>
      <c r="J11" t="s">
        <v>63</v>
      </c>
    </row>
    <row r="12" spans="1:10" x14ac:dyDescent="0.25">
      <c r="A12">
        <v>1011</v>
      </c>
      <c r="B12" t="s">
        <v>20</v>
      </c>
      <c r="C12" t="s">
        <v>31</v>
      </c>
      <c r="D12" t="s">
        <v>49</v>
      </c>
      <c r="E12" t="s">
        <v>56</v>
      </c>
      <c r="F12">
        <v>2</v>
      </c>
      <c r="G12">
        <v>600</v>
      </c>
      <c r="H12">
        <v>1200</v>
      </c>
      <c r="I12" t="s">
        <v>60</v>
      </c>
      <c r="J12" t="s">
        <v>64</v>
      </c>
    </row>
    <row r="13" spans="1:10" x14ac:dyDescent="0.25">
      <c r="A13">
        <v>1012</v>
      </c>
      <c r="B13" t="s">
        <v>21</v>
      </c>
      <c r="C13" t="s">
        <v>39</v>
      </c>
      <c r="D13" t="s">
        <v>51</v>
      </c>
      <c r="E13" t="s">
        <v>56</v>
      </c>
      <c r="F13">
        <v>1</v>
      </c>
      <c r="G13">
        <v>500</v>
      </c>
      <c r="H13">
        <v>500</v>
      </c>
      <c r="I13" t="s">
        <v>62</v>
      </c>
      <c r="J13" t="s">
        <v>66</v>
      </c>
    </row>
    <row r="14" spans="1:10" x14ac:dyDescent="0.25">
      <c r="A14">
        <v>1013</v>
      </c>
      <c r="B14" t="s">
        <v>22</v>
      </c>
      <c r="C14" t="s">
        <v>40</v>
      </c>
      <c r="D14" t="s">
        <v>53</v>
      </c>
      <c r="E14" t="s">
        <v>58</v>
      </c>
      <c r="F14">
        <v>1</v>
      </c>
      <c r="G14">
        <v>50</v>
      </c>
      <c r="H14">
        <v>50</v>
      </c>
      <c r="I14" t="s">
        <v>60</v>
      </c>
      <c r="J14" t="s">
        <v>64</v>
      </c>
    </row>
    <row r="15" spans="1:10" x14ac:dyDescent="0.25">
      <c r="A15">
        <v>1014</v>
      </c>
      <c r="B15" t="s">
        <v>23</v>
      </c>
      <c r="C15" t="s">
        <v>41</v>
      </c>
      <c r="D15" t="s">
        <v>50</v>
      </c>
      <c r="E15" t="s">
        <v>56</v>
      </c>
      <c r="F15">
        <v>1</v>
      </c>
      <c r="G15">
        <v>100</v>
      </c>
      <c r="H15">
        <v>100</v>
      </c>
      <c r="I15" t="s">
        <v>61</v>
      </c>
      <c r="J15" t="s">
        <v>65</v>
      </c>
    </row>
    <row r="16" spans="1:10" x14ac:dyDescent="0.25">
      <c r="A16">
        <v>1015</v>
      </c>
      <c r="B16" t="s">
        <v>24</v>
      </c>
      <c r="C16" t="s">
        <v>42</v>
      </c>
      <c r="D16" t="s">
        <v>48</v>
      </c>
      <c r="E16" t="s">
        <v>56</v>
      </c>
      <c r="F16">
        <v>1</v>
      </c>
      <c r="G16">
        <v>800</v>
      </c>
      <c r="H16">
        <v>800</v>
      </c>
      <c r="I16" t="s">
        <v>59</v>
      </c>
      <c r="J16" t="s">
        <v>63</v>
      </c>
    </row>
    <row r="17" spans="1:10" x14ac:dyDescent="0.25">
      <c r="A17">
        <v>1016</v>
      </c>
      <c r="B17" t="s">
        <v>25</v>
      </c>
      <c r="C17" t="s">
        <v>43</v>
      </c>
      <c r="D17" t="s">
        <v>54</v>
      </c>
      <c r="E17" t="s">
        <v>58</v>
      </c>
      <c r="F17">
        <v>3</v>
      </c>
      <c r="G17">
        <v>25</v>
      </c>
      <c r="H17">
        <v>75</v>
      </c>
      <c r="I17" t="s">
        <v>60</v>
      </c>
      <c r="J17" t="s">
        <v>64</v>
      </c>
    </row>
    <row r="18" spans="1:10" x14ac:dyDescent="0.25">
      <c r="A18">
        <v>1017</v>
      </c>
      <c r="B18" t="s">
        <v>26</v>
      </c>
      <c r="C18" t="s">
        <v>44</v>
      </c>
      <c r="D18" t="s">
        <v>55</v>
      </c>
      <c r="E18" t="s">
        <v>56</v>
      </c>
      <c r="F18">
        <v>1</v>
      </c>
      <c r="G18">
        <v>200</v>
      </c>
      <c r="H18">
        <v>200</v>
      </c>
      <c r="I18" t="s">
        <v>62</v>
      </c>
      <c r="J18" t="s">
        <v>66</v>
      </c>
    </row>
    <row r="19" spans="1:10" x14ac:dyDescent="0.25">
      <c r="A19">
        <v>1018</v>
      </c>
      <c r="B19" t="s">
        <v>27</v>
      </c>
      <c r="C19" t="s">
        <v>45</v>
      </c>
      <c r="D19" t="s">
        <v>52</v>
      </c>
      <c r="E19" t="s">
        <v>57</v>
      </c>
      <c r="F19">
        <v>4</v>
      </c>
      <c r="G19">
        <v>20</v>
      </c>
      <c r="H19">
        <v>80</v>
      </c>
      <c r="I19" t="s">
        <v>59</v>
      </c>
      <c r="J19" t="s">
        <v>63</v>
      </c>
    </row>
    <row r="20" spans="1:10" x14ac:dyDescent="0.25">
      <c r="A20">
        <v>1019</v>
      </c>
      <c r="B20" t="s">
        <v>28</v>
      </c>
      <c r="C20" t="s">
        <v>46</v>
      </c>
      <c r="D20" t="s">
        <v>49</v>
      </c>
      <c r="E20" t="s">
        <v>56</v>
      </c>
      <c r="F20">
        <v>1</v>
      </c>
      <c r="G20">
        <v>600</v>
      </c>
      <c r="H20">
        <v>600</v>
      </c>
      <c r="I20" t="s">
        <v>60</v>
      </c>
      <c r="J20" t="s">
        <v>64</v>
      </c>
    </row>
    <row r="21" spans="1:10" x14ac:dyDescent="0.25">
      <c r="A21">
        <v>1020</v>
      </c>
      <c r="B21" t="s">
        <v>29</v>
      </c>
      <c r="C21" t="s">
        <v>47</v>
      </c>
      <c r="D21" t="s">
        <v>51</v>
      </c>
      <c r="E21" t="s">
        <v>56</v>
      </c>
      <c r="F21">
        <v>1</v>
      </c>
      <c r="G21">
        <v>500</v>
      </c>
      <c r="H21">
        <v>500</v>
      </c>
      <c r="I21" t="s">
        <v>62</v>
      </c>
      <c r="J2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B80CE-64DE-488E-96E8-1DF9A0E32320}">
  <dimension ref="A1:Q23"/>
  <sheetViews>
    <sheetView workbookViewId="0">
      <selection activeCell="I4" sqref="I4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4" width="10.42578125" customWidth="1"/>
    <col min="5" max="5" width="12.42578125" bestFit="1" customWidth="1"/>
    <col min="6" max="6" width="12.140625" bestFit="1" customWidth="1"/>
    <col min="7" max="7" width="10.5703125" bestFit="1" customWidth="1"/>
    <col min="8" max="8" width="8.7109375" bestFit="1" customWidth="1"/>
    <col min="9" max="9" width="8.5703125" bestFit="1" customWidth="1"/>
    <col min="10" max="10" width="13.7109375" customWidth="1"/>
    <col min="11" max="11" width="17.28515625" bestFit="1" customWidth="1"/>
    <col min="12" max="12" width="7.140625" bestFit="1" customWidth="1"/>
    <col min="16" max="16" width="13.28515625" customWidth="1"/>
  </cols>
  <sheetData>
    <row r="1" spans="1:17" x14ac:dyDescent="0.25">
      <c r="A1" s="1" t="s">
        <v>0</v>
      </c>
      <c r="B1" s="1" t="s">
        <v>84</v>
      </c>
      <c r="C1" s="1" t="s">
        <v>85</v>
      </c>
      <c r="D1" s="1" t="s">
        <v>86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7" x14ac:dyDescent="0.25">
      <c r="A2">
        <v>1001</v>
      </c>
      <c r="B2" s="5" t="s">
        <v>71</v>
      </c>
      <c r="C2" s="5" t="s">
        <v>72</v>
      </c>
      <c r="D2" s="5" t="s">
        <v>73</v>
      </c>
      <c r="E2" t="s">
        <v>30</v>
      </c>
      <c r="F2" t="s">
        <v>48</v>
      </c>
      <c r="G2" t="s">
        <v>56</v>
      </c>
      <c r="H2" s="2">
        <v>1</v>
      </c>
      <c r="I2" s="4">
        <v>800</v>
      </c>
      <c r="J2" s="3">
        <f>I2*H2</f>
        <v>800</v>
      </c>
      <c r="K2" t="s">
        <v>59</v>
      </c>
      <c r="L2" t="s">
        <v>63</v>
      </c>
    </row>
    <row r="3" spans="1:17" x14ac:dyDescent="0.25">
      <c r="A3">
        <v>1002</v>
      </c>
      <c r="B3" s="5" t="s">
        <v>71</v>
      </c>
      <c r="C3" s="5" t="s">
        <v>72</v>
      </c>
      <c r="D3" s="5" t="s">
        <v>74</v>
      </c>
      <c r="E3" t="s">
        <v>31</v>
      </c>
      <c r="F3" t="s">
        <v>49</v>
      </c>
      <c r="G3" t="s">
        <v>56</v>
      </c>
      <c r="H3" s="2">
        <v>2</v>
      </c>
      <c r="I3" s="4">
        <v>600</v>
      </c>
      <c r="J3" s="3">
        <f t="shared" ref="J3:J21" si="0">I3*H3</f>
        <v>1200</v>
      </c>
      <c r="K3" t="s">
        <v>60</v>
      </c>
      <c r="L3" t="s">
        <v>64</v>
      </c>
    </row>
    <row r="4" spans="1:17" x14ac:dyDescent="0.25">
      <c r="A4">
        <v>1003</v>
      </c>
      <c r="B4" s="5" t="s">
        <v>71</v>
      </c>
      <c r="C4" s="5" t="s">
        <v>72</v>
      </c>
      <c r="D4" s="5" t="s">
        <v>75</v>
      </c>
      <c r="E4" t="s">
        <v>32</v>
      </c>
      <c r="F4" t="s">
        <v>50</v>
      </c>
      <c r="G4" t="s">
        <v>56</v>
      </c>
      <c r="H4" s="2">
        <v>1</v>
      </c>
      <c r="I4" s="4">
        <v>100</v>
      </c>
      <c r="J4" s="3">
        <f t="shared" si="0"/>
        <v>100</v>
      </c>
      <c r="K4" t="s">
        <v>61</v>
      </c>
      <c r="L4" t="s">
        <v>65</v>
      </c>
      <c r="Q4" s="4"/>
    </row>
    <row r="5" spans="1:17" x14ac:dyDescent="0.25">
      <c r="A5">
        <v>1004</v>
      </c>
      <c r="B5" s="5" t="s">
        <v>71</v>
      </c>
      <c r="C5" s="5" t="s">
        <v>76</v>
      </c>
      <c r="D5" s="5" t="s">
        <v>73</v>
      </c>
      <c r="E5" t="s">
        <v>33</v>
      </c>
      <c r="F5" t="s">
        <v>51</v>
      </c>
      <c r="G5" t="s">
        <v>56</v>
      </c>
      <c r="H5" s="2">
        <v>1</v>
      </c>
      <c r="I5" s="4">
        <v>500</v>
      </c>
      <c r="J5" s="3">
        <f t="shared" si="0"/>
        <v>500</v>
      </c>
      <c r="K5" t="s">
        <v>62</v>
      </c>
      <c r="L5" t="s">
        <v>66</v>
      </c>
    </row>
    <row r="6" spans="1:17" x14ac:dyDescent="0.25">
      <c r="A6">
        <v>1005</v>
      </c>
      <c r="B6" s="5" t="s">
        <v>71</v>
      </c>
      <c r="C6" s="5" t="s">
        <v>76</v>
      </c>
      <c r="D6" s="5" t="s">
        <v>77</v>
      </c>
      <c r="E6" t="s">
        <v>34</v>
      </c>
      <c r="F6" t="s">
        <v>52</v>
      </c>
      <c r="G6" t="s">
        <v>57</v>
      </c>
      <c r="H6" s="2">
        <v>3</v>
      </c>
      <c r="I6" s="4">
        <v>20</v>
      </c>
      <c r="J6" s="3">
        <f t="shared" si="0"/>
        <v>60</v>
      </c>
      <c r="K6" t="s">
        <v>59</v>
      </c>
      <c r="L6" t="s">
        <v>63</v>
      </c>
    </row>
    <row r="7" spans="1:17" x14ac:dyDescent="0.25">
      <c r="A7">
        <v>1006</v>
      </c>
      <c r="B7" s="5" t="s">
        <v>71</v>
      </c>
      <c r="C7" s="5" t="s">
        <v>76</v>
      </c>
      <c r="D7" s="5" t="s">
        <v>74</v>
      </c>
      <c r="E7" t="s">
        <v>30</v>
      </c>
      <c r="F7" t="s">
        <v>48</v>
      </c>
      <c r="G7" t="s">
        <v>56</v>
      </c>
      <c r="H7" s="2">
        <v>1</v>
      </c>
      <c r="I7" s="4">
        <v>800</v>
      </c>
      <c r="J7" s="3">
        <f t="shared" si="0"/>
        <v>800</v>
      </c>
      <c r="K7" t="s">
        <v>59</v>
      </c>
      <c r="L7" t="s">
        <v>63</v>
      </c>
    </row>
    <row r="8" spans="1:17" x14ac:dyDescent="0.25">
      <c r="A8">
        <v>1007</v>
      </c>
      <c r="B8" s="5" t="s">
        <v>71</v>
      </c>
      <c r="C8" s="5" t="s">
        <v>78</v>
      </c>
      <c r="D8" s="5" t="s">
        <v>79</v>
      </c>
      <c r="E8" t="s">
        <v>35</v>
      </c>
      <c r="F8" t="s">
        <v>53</v>
      </c>
      <c r="G8" t="s">
        <v>58</v>
      </c>
      <c r="H8" s="2">
        <v>2</v>
      </c>
      <c r="I8" s="4">
        <v>50</v>
      </c>
      <c r="J8" s="3">
        <f t="shared" si="0"/>
        <v>100</v>
      </c>
      <c r="K8" t="s">
        <v>60</v>
      </c>
      <c r="L8" t="s">
        <v>64</v>
      </c>
    </row>
    <row r="9" spans="1:17" x14ac:dyDescent="0.25">
      <c r="A9">
        <v>1008</v>
      </c>
      <c r="B9" s="5" t="s">
        <v>71</v>
      </c>
      <c r="C9" s="5" t="s">
        <v>78</v>
      </c>
      <c r="D9" s="5" t="s">
        <v>80</v>
      </c>
      <c r="E9" t="s">
        <v>36</v>
      </c>
      <c r="F9" t="s">
        <v>54</v>
      </c>
      <c r="G9" t="s">
        <v>58</v>
      </c>
      <c r="H9" s="2">
        <v>1</v>
      </c>
      <c r="I9" s="4">
        <v>25</v>
      </c>
      <c r="J9" s="3">
        <f t="shared" si="0"/>
        <v>25</v>
      </c>
      <c r="K9" t="s">
        <v>61</v>
      </c>
      <c r="L9" t="s">
        <v>65</v>
      </c>
    </row>
    <row r="10" spans="1:17" x14ac:dyDescent="0.25">
      <c r="A10">
        <v>1009</v>
      </c>
      <c r="B10" s="5" t="s">
        <v>71</v>
      </c>
      <c r="C10" s="5" t="s">
        <v>78</v>
      </c>
      <c r="D10" s="5" t="s">
        <v>81</v>
      </c>
      <c r="E10" t="s">
        <v>37</v>
      </c>
      <c r="F10" t="s">
        <v>55</v>
      </c>
      <c r="G10" t="s">
        <v>56</v>
      </c>
      <c r="H10" s="2">
        <v>1</v>
      </c>
      <c r="I10" s="4">
        <v>200</v>
      </c>
      <c r="J10" s="3">
        <f t="shared" si="0"/>
        <v>200</v>
      </c>
      <c r="K10" t="s">
        <v>62</v>
      </c>
      <c r="L10" t="s">
        <v>66</v>
      </c>
    </row>
    <row r="11" spans="1:17" x14ac:dyDescent="0.25">
      <c r="A11">
        <v>1010</v>
      </c>
      <c r="B11" s="5" t="s">
        <v>71</v>
      </c>
      <c r="C11" s="5" t="s">
        <v>82</v>
      </c>
      <c r="D11" s="5" t="s">
        <v>72</v>
      </c>
      <c r="E11" t="s">
        <v>38</v>
      </c>
      <c r="F11" t="s">
        <v>52</v>
      </c>
      <c r="G11" t="s">
        <v>57</v>
      </c>
      <c r="H11" s="2">
        <v>2</v>
      </c>
      <c r="I11" s="4">
        <v>20</v>
      </c>
      <c r="J11" s="3">
        <f t="shared" si="0"/>
        <v>40</v>
      </c>
      <c r="K11" t="s">
        <v>59</v>
      </c>
      <c r="L11" t="s">
        <v>63</v>
      </c>
    </row>
    <row r="12" spans="1:17" x14ac:dyDescent="0.25">
      <c r="A12">
        <v>1011</v>
      </c>
      <c r="B12" s="5" t="s">
        <v>71</v>
      </c>
      <c r="C12" s="5" t="s">
        <v>82</v>
      </c>
      <c r="D12" s="5" t="s">
        <v>73</v>
      </c>
      <c r="E12" t="s">
        <v>31</v>
      </c>
      <c r="F12" t="s">
        <v>49</v>
      </c>
      <c r="G12" t="s">
        <v>56</v>
      </c>
      <c r="H12" s="2">
        <v>2</v>
      </c>
      <c r="I12" s="4">
        <v>600</v>
      </c>
      <c r="J12" s="3">
        <f t="shared" si="0"/>
        <v>1200</v>
      </c>
      <c r="K12" t="s">
        <v>60</v>
      </c>
      <c r="L12" t="s">
        <v>64</v>
      </c>
    </row>
    <row r="13" spans="1:17" x14ac:dyDescent="0.25">
      <c r="A13">
        <v>1012</v>
      </c>
      <c r="B13" s="5" t="s">
        <v>71</v>
      </c>
      <c r="C13" s="5" t="s">
        <v>82</v>
      </c>
      <c r="D13" s="5" t="s">
        <v>74</v>
      </c>
      <c r="E13" t="s">
        <v>39</v>
      </c>
      <c r="F13" t="s">
        <v>51</v>
      </c>
      <c r="G13" t="s">
        <v>56</v>
      </c>
      <c r="H13" s="2">
        <v>1</v>
      </c>
      <c r="I13" s="4">
        <v>500</v>
      </c>
      <c r="J13" s="3">
        <f t="shared" si="0"/>
        <v>500</v>
      </c>
      <c r="K13" t="s">
        <v>62</v>
      </c>
      <c r="L13" t="s">
        <v>66</v>
      </c>
    </row>
    <row r="14" spans="1:17" x14ac:dyDescent="0.25">
      <c r="A14">
        <v>1013</v>
      </c>
      <c r="B14" s="5" t="s">
        <v>71</v>
      </c>
      <c r="C14" s="5" t="s">
        <v>73</v>
      </c>
      <c r="D14" s="5" t="s">
        <v>72</v>
      </c>
      <c r="E14" t="s">
        <v>40</v>
      </c>
      <c r="F14" t="s">
        <v>53</v>
      </c>
      <c r="G14" t="s">
        <v>58</v>
      </c>
      <c r="H14" s="2">
        <v>1</v>
      </c>
      <c r="I14" s="4">
        <v>50</v>
      </c>
      <c r="J14" s="3">
        <f t="shared" si="0"/>
        <v>50</v>
      </c>
      <c r="K14" t="s">
        <v>60</v>
      </c>
      <c r="L14" t="s">
        <v>64</v>
      </c>
    </row>
    <row r="15" spans="1:17" x14ac:dyDescent="0.25">
      <c r="A15">
        <v>1014</v>
      </c>
      <c r="B15" s="5" t="s">
        <v>71</v>
      </c>
      <c r="C15" s="5" t="s">
        <v>73</v>
      </c>
      <c r="D15" s="5" t="s">
        <v>73</v>
      </c>
      <c r="E15" t="s">
        <v>41</v>
      </c>
      <c r="F15" t="s">
        <v>50</v>
      </c>
      <c r="G15" t="s">
        <v>56</v>
      </c>
      <c r="H15" s="2">
        <v>1</v>
      </c>
      <c r="I15" s="4">
        <v>100</v>
      </c>
      <c r="J15" s="3">
        <f t="shared" si="0"/>
        <v>100</v>
      </c>
      <c r="K15" t="s">
        <v>61</v>
      </c>
      <c r="L15" t="s">
        <v>65</v>
      </c>
    </row>
    <row r="16" spans="1:17" x14ac:dyDescent="0.25">
      <c r="A16">
        <v>1015</v>
      </c>
      <c r="B16" s="5" t="s">
        <v>71</v>
      </c>
      <c r="C16" s="5" t="s">
        <v>73</v>
      </c>
      <c r="D16" s="5" t="s">
        <v>77</v>
      </c>
      <c r="E16" t="s">
        <v>42</v>
      </c>
      <c r="F16" t="s">
        <v>48</v>
      </c>
      <c r="G16" t="s">
        <v>56</v>
      </c>
      <c r="H16" s="2">
        <v>1</v>
      </c>
      <c r="I16" s="4">
        <v>800</v>
      </c>
      <c r="J16" s="3">
        <f t="shared" si="0"/>
        <v>800</v>
      </c>
      <c r="K16" t="s">
        <v>59</v>
      </c>
      <c r="L16" t="s">
        <v>63</v>
      </c>
    </row>
    <row r="17" spans="1:12" x14ac:dyDescent="0.25">
      <c r="A17">
        <v>1016</v>
      </c>
      <c r="B17" s="5" t="s">
        <v>71</v>
      </c>
      <c r="C17" s="5" t="s">
        <v>73</v>
      </c>
      <c r="D17" s="5" t="s">
        <v>74</v>
      </c>
      <c r="E17" t="s">
        <v>43</v>
      </c>
      <c r="F17" t="s">
        <v>54</v>
      </c>
      <c r="G17" t="s">
        <v>58</v>
      </c>
      <c r="H17" s="2">
        <v>3</v>
      </c>
      <c r="I17" s="4">
        <v>25</v>
      </c>
      <c r="J17" s="3">
        <f t="shared" si="0"/>
        <v>75</v>
      </c>
      <c r="K17" t="s">
        <v>60</v>
      </c>
      <c r="L17" t="s">
        <v>64</v>
      </c>
    </row>
    <row r="18" spans="1:12" x14ac:dyDescent="0.25">
      <c r="A18">
        <v>1017</v>
      </c>
      <c r="B18" s="5" t="s">
        <v>71</v>
      </c>
      <c r="C18" s="5" t="s">
        <v>83</v>
      </c>
      <c r="D18" s="5" t="s">
        <v>72</v>
      </c>
      <c r="E18" t="s">
        <v>44</v>
      </c>
      <c r="F18" t="s">
        <v>55</v>
      </c>
      <c r="G18" t="s">
        <v>56</v>
      </c>
      <c r="H18" s="2">
        <v>1</v>
      </c>
      <c r="I18" s="4">
        <v>200</v>
      </c>
      <c r="J18" s="3">
        <f t="shared" si="0"/>
        <v>200</v>
      </c>
      <c r="K18" t="s">
        <v>62</v>
      </c>
      <c r="L18" t="s">
        <v>66</v>
      </c>
    </row>
    <row r="19" spans="1:12" x14ac:dyDescent="0.25">
      <c r="A19">
        <v>1018</v>
      </c>
      <c r="B19" s="5" t="s">
        <v>71</v>
      </c>
      <c r="C19" s="5" t="s">
        <v>83</v>
      </c>
      <c r="D19" s="5" t="s">
        <v>73</v>
      </c>
      <c r="E19" t="s">
        <v>45</v>
      </c>
      <c r="F19" t="s">
        <v>52</v>
      </c>
      <c r="G19" t="s">
        <v>57</v>
      </c>
      <c r="H19" s="2">
        <v>4</v>
      </c>
      <c r="I19" s="4">
        <v>20</v>
      </c>
      <c r="J19" s="3">
        <f t="shared" si="0"/>
        <v>80</v>
      </c>
      <c r="K19" t="s">
        <v>59</v>
      </c>
      <c r="L19" t="s">
        <v>63</v>
      </c>
    </row>
    <row r="20" spans="1:12" x14ac:dyDescent="0.25">
      <c r="A20">
        <v>1019</v>
      </c>
      <c r="B20" s="5" t="s">
        <v>71</v>
      </c>
      <c r="C20" s="5" t="s">
        <v>83</v>
      </c>
      <c r="D20" s="5" t="s">
        <v>77</v>
      </c>
      <c r="E20" t="s">
        <v>46</v>
      </c>
      <c r="F20" t="s">
        <v>49</v>
      </c>
      <c r="G20" t="s">
        <v>56</v>
      </c>
      <c r="H20" s="2">
        <v>1</v>
      </c>
      <c r="I20" s="4">
        <v>600</v>
      </c>
      <c r="J20" s="3">
        <f t="shared" si="0"/>
        <v>600</v>
      </c>
      <c r="K20" t="s">
        <v>60</v>
      </c>
      <c r="L20" t="s">
        <v>64</v>
      </c>
    </row>
    <row r="21" spans="1:12" x14ac:dyDescent="0.25">
      <c r="A21">
        <v>1020</v>
      </c>
      <c r="B21" s="5" t="s">
        <v>71</v>
      </c>
      <c r="C21" s="5" t="s">
        <v>83</v>
      </c>
      <c r="D21" s="5" t="s">
        <v>74</v>
      </c>
      <c r="E21" t="s">
        <v>47</v>
      </c>
      <c r="F21" t="s">
        <v>51</v>
      </c>
      <c r="G21" t="s">
        <v>56</v>
      </c>
      <c r="H21" s="2">
        <v>1</v>
      </c>
      <c r="I21" s="4">
        <v>500</v>
      </c>
      <c r="J21" s="3">
        <f t="shared" si="0"/>
        <v>500</v>
      </c>
      <c r="K21" t="s">
        <v>62</v>
      </c>
      <c r="L21" t="s">
        <v>66</v>
      </c>
    </row>
    <row r="22" spans="1:12" x14ac:dyDescent="0.25">
      <c r="J22" s="4"/>
    </row>
    <row r="23" spans="1:12" x14ac:dyDescent="0.25">
      <c r="J23" s="4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253B-20E8-4FD2-9DD8-0554E8F1581F}">
  <dimension ref="A3:C87"/>
  <sheetViews>
    <sheetView topLeftCell="A73" workbookViewId="0">
      <selection activeCell="B34" sqref="B34"/>
    </sheetView>
  </sheetViews>
  <sheetFormatPr defaultRowHeight="15" x14ac:dyDescent="0.25"/>
  <cols>
    <col min="1" max="1" width="13.140625" bestFit="1" customWidth="1"/>
    <col min="2" max="2" width="20.7109375" bestFit="1" customWidth="1"/>
    <col min="3" max="3" width="8.42578125" bestFit="1" customWidth="1"/>
    <col min="4" max="4" width="10.5703125" bestFit="1" customWidth="1"/>
    <col min="5" max="5" width="11.28515625" bestFit="1" customWidth="1"/>
    <col min="6" max="7" width="5" bestFit="1" customWidth="1"/>
    <col min="8" max="8" width="11.28515625" bestFit="1" customWidth="1"/>
  </cols>
  <sheetData>
    <row r="3" spans="1:2" x14ac:dyDescent="0.25">
      <c r="A3" s="6" t="s">
        <v>69</v>
      </c>
      <c r="B3" t="s">
        <v>68</v>
      </c>
    </row>
    <row r="4" spans="1:2" x14ac:dyDescent="0.25">
      <c r="A4" s="7" t="s">
        <v>66</v>
      </c>
      <c r="B4" s="8">
        <v>380</v>
      </c>
    </row>
    <row r="5" spans="1:2" x14ac:dyDescent="0.25">
      <c r="A5" s="7" t="s">
        <v>63</v>
      </c>
      <c r="B5" s="8">
        <v>430</v>
      </c>
    </row>
    <row r="6" spans="1:2" x14ac:dyDescent="0.25">
      <c r="A6" s="7" t="s">
        <v>64</v>
      </c>
      <c r="B6" s="8">
        <v>537.5</v>
      </c>
    </row>
    <row r="7" spans="1:2" x14ac:dyDescent="0.25">
      <c r="A7" s="7" t="s">
        <v>65</v>
      </c>
      <c r="B7" s="8">
        <v>75</v>
      </c>
    </row>
    <row r="8" spans="1:2" x14ac:dyDescent="0.25">
      <c r="A8" s="7" t="s">
        <v>70</v>
      </c>
      <c r="B8" s="5">
        <v>396.5</v>
      </c>
    </row>
    <row r="18" spans="1:2" x14ac:dyDescent="0.25">
      <c r="A18" s="6" t="s">
        <v>69</v>
      </c>
      <c r="B18" t="s">
        <v>67</v>
      </c>
    </row>
    <row r="19" spans="1:2" x14ac:dyDescent="0.25">
      <c r="A19" s="7" t="s">
        <v>57</v>
      </c>
      <c r="B19" s="8">
        <v>180</v>
      </c>
    </row>
    <row r="20" spans="1:2" x14ac:dyDescent="0.25">
      <c r="A20" s="7" t="s">
        <v>58</v>
      </c>
      <c r="B20" s="8">
        <v>250</v>
      </c>
    </row>
    <row r="21" spans="1:2" x14ac:dyDescent="0.25">
      <c r="A21" s="7" t="s">
        <v>56</v>
      </c>
      <c r="B21" s="8">
        <v>7500</v>
      </c>
    </row>
    <row r="22" spans="1:2" x14ac:dyDescent="0.25">
      <c r="A22" s="7" t="s">
        <v>70</v>
      </c>
      <c r="B22" s="8">
        <v>7930</v>
      </c>
    </row>
    <row r="33" spans="1:2" x14ac:dyDescent="0.25">
      <c r="A33" s="6" t="s">
        <v>69</v>
      </c>
      <c r="B33" t="s">
        <v>88</v>
      </c>
    </row>
    <row r="34" spans="1:2" x14ac:dyDescent="0.25">
      <c r="A34" s="7" t="s">
        <v>60</v>
      </c>
      <c r="B34" s="5">
        <v>6</v>
      </c>
    </row>
    <row r="35" spans="1:2" x14ac:dyDescent="0.25">
      <c r="A35" s="7" t="s">
        <v>59</v>
      </c>
      <c r="B35" s="5">
        <v>6</v>
      </c>
    </row>
    <row r="36" spans="1:2" x14ac:dyDescent="0.25">
      <c r="A36" s="7" t="s">
        <v>62</v>
      </c>
      <c r="B36" s="5">
        <v>5</v>
      </c>
    </row>
    <row r="37" spans="1:2" x14ac:dyDescent="0.25">
      <c r="A37" s="7" t="s">
        <v>61</v>
      </c>
      <c r="B37" s="5">
        <v>3</v>
      </c>
    </row>
    <row r="38" spans="1:2" x14ac:dyDescent="0.25">
      <c r="A38" s="7" t="s">
        <v>70</v>
      </c>
      <c r="B38" s="5">
        <v>20</v>
      </c>
    </row>
    <row r="55" spans="1:2" x14ac:dyDescent="0.25">
      <c r="A55" s="6" t="s">
        <v>69</v>
      </c>
      <c r="B55" t="s">
        <v>67</v>
      </c>
    </row>
    <row r="56" spans="1:2" x14ac:dyDescent="0.25">
      <c r="A56" s="7" t="s">
        <v>72</v>
      </c>
      <c r="B56" s="8">
        <v>2100</v>
      </c>
    </row>
    <row r="57" spans="1:2" x14ac:dyDescent="0.25">
      <c r="A57" s="7" t="s">
        <v>76</v>
      </c>
      <c r="B57" s="8">
        <v>1360</v>
      </c>
    </row>
    <row r="58" spans="1:2" x14ac:dyDescent="0.25">
      <c r="A58" s="7" t="s">
        <v>78</v>
      </c>
      <c r="B58" s="8">
        <v>325</v>
      </c>
    </row>
    <row r="59" spans="1:2" x14ac:dyDescent="0.25">
      <c r="A59" s="7" t="s">
        <v>82</v>
      </c>
      <c r="B59" s="8">
        <v>1740</v>
      </c>
    </row>
    <row r="60" spans="1:2" x14ac:dyDescent="0.25">
      <c r="A60" s="7" t="s">
        <v>73</v>
      </c>
      <c r="B60" s="8">
        <v>1025</v>
      </c>
    </row>
    <row r="61" spans="1:2" x14ac:dyDescent="0.25">
      <c r="A61" s="7" t="s">
        <v>83</v>
      </c>
      <c r="B61" s="8">
        <v>1380</v>
      </c>
    </row>
    <row r="62" spans="1:2" x14ac:dyDescent="0.25">
      <c r="A62" s="7" t="s">
        <v>70</v>
      </c>
      <c r="B62" s="8">
        <v>7930</v>
      </c>
    </row>
    <row r="78" spans="2:3" x14ac:dyDescent="0.25">
      <c r="B78" s="6" t="s">
        <v>69</v>
      </c>
      <c r="C78" t="s">
        <v>87</v>
      </c>
    </row>
    <row r="79" spans="2:3" x14ac:dyDescent="0.25">
      <c r="B79" s="7" t="s">
        <v>52</v>
      </c>
      <c r="C79" s="5">
        <v>9</v>
      </c>
    </row>
    <row r="80" spans="2:3" x14ac:dyDescent="0.25">
      <c r="B80" s="7" t="s">
        <v>49</v>
      </c>
      <c r="C80" s="5">
        <v>5</v>
      </c>
    </row>
    <row r="81" spans="2:3" x14ac:dyDescent="0.25">
      <c r="B81" s="7" t="s">
        <v>54</v>
      </c>
      <c r="C81" s="5">
        <v>4</v>
      </c>
    </row>
    <row r="82" spans="2:3" x14ac:dyDescent="0.25">
      <c r="B82" s="7" t="s">
        <v>51</v>
      </c>
      <c r="C82" s="5">
        <v>3</v>
      </c>
    </row>
    <row r="83" spans="2:3" x14ac:dyDescent="0.25">
      <c r="B83" s="7" t="s">
        <v>48</v>
      </c>
      <c r="C83" s="5">
        <v>3</v>
      </c>
    </row>
    <row r="84" spans="2:3" x14ac:dyDescent="0.25">
      <c r="B84" s="7" t="s">
        <v>53</v>
      </c>
      <c r="C84" s="5">
        <v>3</v>
      </c>
    </row>
    <row r="85" spans="2:3" x14ac:dyDescent="0.25">
      <c r="B85" s="7" t="s">
        <v>55</v>
      </c>
      <c r="C85" s="5">
        <v>2</v>
      </c>
    </row>
    <row r="86" spans="2:3" x14ac:dyDescent="0.25">
      <c r="B86" s="7" t="s">
        <v>50</v>
      </c>
      <c r="C86" s="5">
        <v>2</v>
      </c>
    </row>
    <row r="87" spans="2:3" x14ac:dyDescent="0.25">
      <c r="B87" s="7" t="s">
        <v>70</v>
      </c>
      <c r="C87" s="5">
        <v>31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2025-02-01T14:31:15Z</dcterms:created>
  <dcterms:modified xsi:type="dcterms:W3CDTF">2025-11-18T16:47:37Z</dcterms:modified>
</cp:coreProperties>
</file>